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ndle Pricing" sheetId="1" state="visible" r:id="rId3"/>
    <sheet name="Houston TX Pricing" sheetId="2" state="visible" r:id="rId4"/>
    <sheet name="India Pricing" sheetId="3" state="visible" r:id="rId5"/>
    <sheet name="Competitor Benchmark" sheetId="4" state="visible" r:id="rId6"/>
    <sheet name="Cost Basis &amp; Margi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<sst xmlns="http://schemas.openxmlformats.org/spreadsheetml/2006/main" count="202" uniqueCount="162">
  <si>
    <t xml:space="preserve">AJ &amp; Co. — Dental AI Product Suite Pricing</t>
  </si>
  <si>
    <t xml:space="preserve">Two markets priced separately: Houston, TX (USD) and India (INR). Prepared Aug 2026.</t>
  </si>
  <si>
    <t xml:space="preserve">⚠ Market note — read before quoting Houston, TX</t>
  </si>
  <si>
    <t xml:space="preserve">Meta has blocked WhatsApp "marketing"-category template messages to US phone numbers since April 2025 (service/utility messages inside an open conversation still work). India has no such block. Practically: Products 1, 3, 5 and 6 use WhatsApp as the primary channel in India, but for Houston the outbound/proactive sends (re-engagement blasts, reminders, follow-ups, rating requests) are re-priced on SMS (Twilio, ~$0.011/segment all-in incl. carrier + 10DLC fees) instead. WhatsApp stays available in the US only as an inbound/opt-in channel (e.g. the website's "message us" button, which is patient-initiated and unaffected by the block).</t>
  </si>
  <si>
    <t xml:space="preserve">Houston, TX (USD)</t>
  </si>
  <si>
    <t xml:space="preserve">India (INR)</t>
  </si>
  <si>
    <t xml:space="preserve">India (USD equiv.)</t>
  </si>
  <si>
    <t xml:space="preserve">Notes</t>
  </si>
  <si>
    <t xml:space="preserve">All 8 products, bundled</t>
  </si>
  <si>
    <t xml:space="preserve">"Practice OS All-Access" — flat monthly, dashboard + website hosting included</t>
  </si>
  <si>
    <t xml:space="preserve">Sum if bought à la carte (below)</t>
  </si>
  <si>
    <t xml:space="preserve">Monthly platform fees only, excludes one-time website build</t>
  </si>
  <si>
    <t xml:space="preserve">Bundle savings vs à la carte</t>
  </si>
  <si>
    <t xml:space="preserve">Bundle savings %</t>
  </si>
  <si>
    <t xml:space="preserve">Website build (one-time, bundle price)</t>
  </si>
  <si>
    <t xml:space="preserve">Full price standalone: $999 / ₹24,999</t>
  </si>
  <si>
    <t xml:space="preserve">Why the bundle beats assembling the equivalent stack from competitors</t>
  </si>
  <si>
    <t xml:space="preserve">Houston: Weave ($400-900/mo) + RevenueWell/Solutionreach recall ($189-400/mo) + a managed AI receptionist ($700-1,400/mo all-in) + PatientPop website/marketing ($700-2,500/mo) alone would run $2,000-5,000+/mo before reputation or billing tools are added. Our full 8-product bundle is $999/mo.</t>
  </si>
  <si>
    <t xml:space="preserve">India: assembling a WhatsApp chatbot agency (₹8,000-25,000/mo) + a mid-tier PMS (₹1,500-2,500/mo) + a custom-built AI phone line + reputation tooling separately would land in a similar ₹25,000-40,000+/mo range with none of it talking to the others. Our bundle is ₹24,999/mo, and every product writes to the same dashboard.</t>
  </si>
  <si>
    <t xml:space="preserve">Houston, TX — Per-Product Pricing (USD)</t>
  </si>
  <si>
    <t xml:space="preserve">Outbound messaging priced on SMS (Twilio), not WhatsApp — see Market Note on Bundle Pricing tab.</t>
  </si>
  <si>
    <t xml:space="preserve">Product</t>
  </si>
  <si>
    <t xml:space="preserve">Competes With</t>
  </si>
  <si>
    <t xml:space="preserve">Monthly Fee</t>
  </si>
  <si>
    <t xml:space="preserve">Annual</t>
  </si>
  <si>
    <t xml:space="preserve">Included Usage</t>
  </si>
  <si>
    <t xml:space="preserve">Overage / Pass-Through</t>
  </si>
  <si>
    <t xml:space="preserve">One-Time Fee</t>
  </si>
  <si>
    <t xml:space="preserve">1. WhatsApp/SMS Patient Re-Engagement</t>
  </si>
  <si>
    <t xml:space="preserve">RevenueWell, Solutionreach ($189+/mo)</t>
  </si>
  <si>
    <t xml:space="preserve">500 SMS/mo</t>
  </si>
  <si>
    <t xml:space="preserve">$0.011/SMS at cost (Twilio + carrier)</t>
  </si>
  <si>
    <t xml:space="preserve">2. AI Receptionist (Phone)</t>
  </si>
  <si>
    <t xml:space="preserve">Managed AI receptionist platforms ($199-499/mo advertised, $700-1,400/mo real all-in)</t>
  </si>
  <si>
    <t xml:space="preserve">300 min (~100 calls)/mo</t>
  </si>
  <si>
    <t xml:space="preserve">$0.15/min</t>
  </si>
  <si>
    <t xml:space="preserve">3. No-Show Recovery + Waitlist</t>
  </si>
  <si>
    <t xml:space="preserve">Yapi (~$500/mo/provider quoted), NexHealth (custom quote)</t>
  </si>
  <si>
    <t xml:space="preserve">1,000 SMS/mo</t>
  </si>
  <si>
    <t xml:space="preserve">$0.011/SMS at cost</t>
  </si>
  <si>
    <t xml:space="preserve">4. Practice Dashboard</t>
  </si>
  <si>
    <t xml:space="preserve">Adit ($399/mo), CareStack ($400-700/mo/location — full PMS, not directly comparable)</t>
  </si>
  <si>
    <t xml:space="preserve">Unlimited (reads other 7 products)</t>
  </si>
  <si>
    <t xml:space="preserve">n/a — free when bundled with 3+ products</t>
  </si>
  <si>
    <t xml:space="preserve">5. Treatment Follow-Up</t>
  </si>
  <si>
    <t xml:space="preserve">Bundled into RevenueWell/Solutionreach, no standalone competitor price found</t>
  </si>
  <si>
    <t xml:space="preserve">6. Review &amp; Reputation</t>
  </si>
  <si>
    <t xml:space="preserve">Birdeye, Podium (quote-only, no published price found)</t>
  </si>
  <si>
    <t xml:space="preserve">300 rating-request SMS + unlimited kiosk</t>
  </si>
  <si>
    <t xml:space="preserve">7. Website + Booking</t>
  </si>
  <si>
    <t xml:space="preserve">PatientPop ($700-2,500/mo)</t>
  </si>
  <si>
    <t xml:space="preserve">Hosting + content updates</t>
  </si>
  <si>
    <t xml:space="preserve">Domain ~$15/yr at cost</t>
  </si>
  <si>
    <t xml:space="preserve">8. Insurance &amp; Billing Recovery</t>
  </si>
  <si>
    <t xml:space="preserve">Vyne Trellis (~$99+/mo unlimited claims), DentalXChange ($0.25/claim + $25/mo)</t>
  </si>
  <si>
    <t xml:space="preserve">Unlimited claims monitored</t>
  </si>
  <si>
    <t xml:space="preserve">n/a</t>
  </si>
  <si>
    <t xml:space="preserve">À la carte monthly total</t>
  </si>
  <si>
    <t xml:space="preserve">excludes one-time fees</t>
  </si>
  <si>
    <t xml:space="preserve">Bundle price ("Practice OS All-Access")</t>
  </si>
  <si>
    <t xml:space="preserve">All 8 products</t>
  </si>
  <si>
    <t xml:space="preserve">Note: Product 4 (Practice Dashboard) is still prototype-stage pending full integration — price it as "early access" until that work is finished. Product 2's one-time fee covers Twilio number provisioning/porting.</t>
  </si>
  <si>
    <t xml:space="preserve">India — Per-Product Pricing (INR)</t>
  </si>
  <si>
    <t xml:space="preserve">WhatsApp is the primary channel — no Meta marketing-message block in India.</t>
  </si>
  <si>
    <t xml:space="preserve">1. WhatsApp Patient Re-Engagement</t>
  </si>
  <si>
    <t xml:space="preserve">India WhatsApp chatbot agencies (₹3,000-25,000/mo all-in), dental PMS add-ons</t>
  </si>
  <si>
    <t xml:space="preserve">1,000 WhatsApp msgs/mo</t>
  </si>
  <si>
    <t xml:space="preserve">₹0.11 (utility) / ₹0.86 (marketing) at cost</t>
  </si>
  <si>
    <t xml:space="preserve">No direct India competitor found at this spec — priced against build cost + Houston parity</t>
  </si>
  <si>
    <t xml:space="preserve">₹15/min</t>
  </si>
  <si>
    <t xml:space="preserve">Dental PMS reminder modules (bundled into ₹1,200-2,500/mo PMS plans)</t>
  </si>
  <si>
    <t xml:space="preserve">2,000 WhatsApp msgs/mo</t>
  </si>
  <si>
    <t xml:space="preserve">at cost (₹0.11-0.86/msg)</t>
  </si>
  <si>
    <t xml:space="preserve">Dentvora, BestoSys, Medecro (₹833-2,475/mo, PMS-first, not agent-data dashboards)</t>
  </si>
  <si>
    <t xml:space="preserve">Not offered as standalone by India PMS vendors found in research</t>
  </si>
  <si>
    <t xml:space="preserve">No India-specific dental reputation tool found at this spec</t>
  </si>
  <si>
    <t xml:space="preserve">1,000 rating-request msgs + unlimited kiosk</t>
  </si>
  <si>
    <t xml:space="preserve">at cost (₹0.11/msg)</t>
  </si>
  <si>
    <t xml:space="preserve">Freelance/agency dental website builds (₹15,000-50,000 one-time, wide range)</t>
  </si>
  <si>
    <t xml:space="preserve">Domain ~₹1,000/yr at cost</t>
  </si>
  <si>
    <t xml:space="preserve">8. Payment/Insurance Recovery (optional)</t>
  </si>
  <si>
    <t xml:space="preserve">Not a strong India fit — ~51% of dental patients pay out of pocket; repositioned as outstanding-balance follow-up rather than insurance claims</t>
  </si>
  <si>
    <t xml:space="preserve">Unlimited accounts monitored</t>
  </si>
  <si>
    <t xml:space="preserve">Note: Product 8 is optional in the India bundle — offer it but don't push it as hard as in Houston; the ROI story (recovering forgotten claims) only applies to the ~49% of patients carrying insurance.</t>
  </si>
  <si>
    <t xml:space="preserve">Competitor Benchmark (sourced Aug 2026)</t>
  </si>
  <si>
    <t xml:space="preserve">Product Category</t>
  </si>
  <si>
    <t xml:space="preserve">Named Competitors</t>
  </si>
  <si>
    <t xml:space="preserve">Their Price</t>
  </si>
  <si>
    <t xml:space="preserve">Our Houston Price</t>
  </si>
  <si>
    <t xml:space="preserve">Our India Price</t>
  </si>
  <si>
    <t xml:space="preserve">Source</t>
  </si>
  <si>
    <t xml:space="preserve">Patient Recall / Re-Engagement</t>
  </si>
  <si>
    <t xml:space="preserve">RevenueWell, Solutionreach</t>
  </si>
  <si>
    <t xml:space="preserve">$189+/mo (quote-based, DSO-scale pricing)</t>
  </si>
  <si>
    <t xml:space="preserve">$179/mo</t>
  </si>
  <si>
    <t xml:space="preserve">₹4,999/mo</t>
  </si>
  <si>
    <t xml:space="preserve">softwarefinder.com/emr-software/revenuewell; capterra.com/p/160916/Solutionreach</t>
  </si>
  <si>
    <t xml:space="preserve">AI Phone Receptionist</t>
  </si>
  <si>
    <t xml:space="preserve">Weave, generic AI receptionist vendors</t>
  </si>
  <si>
    <t xml:space="preserve">$199-499/mo advertised; $700-1,400/mo real all-in; $0.12-0.15/min overage models</t>
  </si>
  <si>
    <t xml:space="preserve">$349/mo (incl. 300 min) + $0.15/min</t>
  </si>
  <si>
    <t xml:space="preserve">₹7,999/mo (incl. 300 min) + ₹15/min</t>
  </si>
  <si>
    <t xml:space="preserve">patientxpress.us/blog/ai-dental-receptionist-pricing; myaifrontdesk.com; noshowcost.com/tools/weave-pricing</t>
  </si>
  <si>
    <t xml:space="preserve">No-Show Recovery / Waitlist</t>
  </si>
  <si>
    <t xml:space="preserve">Yapi, NexHealth</t>
  </si>
  <si>
    <t xml:space="preserve">Yapi ~$500/mo/provider (quoted); NexHealth custom quote</t>
  </si>
  <si>
    <t xml:space="preserve">$199/mo</t>
  </si>
  <si>
    <t xml:space="preserve">ustechautomations.com (Yapi); softwareadvice.com/dental/nexhealth-profile</t>
  </si>
  <si>
    <t xml:space="preserve">Practice Dashboard / PMS overlay</t>
  </si>
  <si>
    <t xml:space="preserve">Adit, CareStack</t>
  </si>
  <si>
    <t xml:space="preserve">Adit $399/mo; CareStack $400-700/mo/location (full PMS, broader scope)</t>
  </si>
  <si>
    <t xml:space="preserve">$149/mo (free if bundled)</t>
  </si>
  <si>
    <t xml:space="preserve">₹4,999/mo (free if bundled)</t>
  </si>
  <si>
    <t xml:space="preserve">adit.com/pricing; capterra.com/p/176206/CareStack</t>
  </si>
  <si>
    <t xml:space="preserve">Reputation / Review Management</t>
  </si>
  <si>
    <t xml:space="preserve">Birdeye, Podium</t>
  </si>
  <si>
    <t xml:space="preserve">Quote-only; no published price found in research</t>
  </si>
  <si>
    <t xml:space="preserve">$149/mo</t>
  </si>
  <si>
    <t xml:space="preserve">₹3,999/mo</t>
  </si>
  <si>
    <t xml:space="preserve">birdeye.com/pricing (quote required); capterra.com/p/152997/BirdEye</t>
  </si>
  <si>
    <t xml:space="preserve">Website + Online Booking / Marketing</t>
  </si>
  <si>
    <t xml:space="preserve">PatientPop (Tebra)</t>
  </si>
  <si>
    <t xml:space="preserve">$700-2,500/mo (bundles SEO/ads/marketing we don't do)</t>
  </si>
  <si>
    <t xml:space="preserve">$999 one-time + $49/mo hosting</t>
  </si>
  <si>
    <t xml:space="preserve">₹24,999 one-time + ₹999/mo hosting</t>
  </si>
  <si>
    <t xml:space="preserve">hip.agency/patientpop-reviews; findemr.com/patientpop-software</t>
  </si>
  <si>
    <t xml:space="preserve">Insurance / Billing Recovery</t>
  </si>
  <si>
    <t xml:space="preserve">Vyne Trellis, DentalXChange</t>
  </si>
  <si>
    <t xml:space="preserve">Vyne ~$99+/mo unlimited claims (one source); DentalXChange $0.25/claim + $25/mo</t>
  </si>
  <si>
    <t xml:space="preserve">$249/mo</t>
  </si>
  <si>
    <t xml:space="preserve">₹3,999/mo (optional add-on)</t>
  </si>
  <si>
    <t xml:space="preserve">themolarreport.com/reviews/vyne-dental; dentalclaimsupport.com/blog/best-dental-clearinghouses</t>
  </si>
  <si>
    <t xml:space="preserve">India dental PMS baseline (context, not direct competitor)</t>
  </si>
  <si>
    <t xml:space="preserve">Medecro, Dentee, BestoSys, Dentvora</t>
  </si>
  <si>
    <t xml:space="preserve">₹833-2,475/mo (basic PMS features only, no AI automation)</t>
  </si>
  <si>
    <t xml:space="preserve">See per-product rows above</t>
  </si>
  <si>
    <t xml:space="preserve">techimply.com/software/dental-software-india; adrine.in/blog/best-dental-practice-management-software-india</t>
  </si>
  <si>
    <t xml:space="preserve">India WhatsApp chatbot agencies (context)</t>
  </si>
  <si>
    <t xml:space="preserve">Generic AI chatbot agencies</t>
  </si>
  <si>
    <t xml:space="preserve">₹3,000-25,000/mo all-in (platform fee + Meta conversation charges)</t>
  </si>
  <si>
    <t xml:space="preserve">See Product 1/3/5 rows above</t>
  </si>
  <si>
    <t xml:space="preserve">aichatbot.com.in/blog/ai-chatbot-pricing-guide-2026; hyperleap.ai/blog/whatsapp-chatbot-pricing-india-2026</t>
  </si>
  <si>
    <t xml:space="preserve">Caveat: most competitor pricing above is quote-based/opaque by design (sales-gated), so figures are the best publicly reported ranges as of Aug 2026, not vendor rate cards. Confirm with a live quote before using a specific number in a sales conversation.</t>
  </si>
  <si>
    <t xml:space="preserve">Internal — Cost Basis &amp; Margin (not for client sharing)</t>
  </si>
  <si>
    <t xml:space="preserve">Real variable costs at proof-point volumes, from each product's SETUP.md. Shared infra (n8n VPS ~$5-7/mo, Appwrite free tier) is pooled across all 8 products per client and amortized below.</t>
  </si>
  <si>
    <t xml:space="preserve">Real Variable Cost (typical mo.)</t>
  </si>
  <si>
    <t xml:space="preserve">Shared Infra (alloc.)</t>
  </si>
  <si>
    <t xml:space="preserve">Total Cost/mo</t>
  </si>
  <si>
    <t xml:space="preserve">Houston Price</t>
  </si>
  <si>
    <t xml:space="preserve">Houston Margin %</t>
  </si>
  <si>
    <t xml:space="preserve">India Price (INR)</t>
  </si>
  <si>
    <t xml:space="preserve">India Margin %</t>
  </si>
  <si>
    <t xml:space="preserve">1. WhatsApp/SMS Re-Engagement</t>
  </si>
  <si>
    <t xml:space="preserve">$5-15 (SMS ~500 msgs @ $0.011-0.03 all-in)</t>
  </si>
  <si>
    <t xml:space="preserve">$20-35 (100 calls @ $0.20-0.35 all-in)</t>
  </si>
  <si>
    <t xml:space="preserve">$5-12 (SMS/WhatsApp reminders)</t>
  </si>
  <si>
    <t xml:space="preserve">~$0 (reads Appwrite free tier, no external calls)</t>
  </si>
  <si>
    <t xml:space="preserve">$3-8 (low volume, capped at 3 touches/patient)</t>
  </si>
  <si>
    <t xml:space="preserve">$1-4 (mostly free kiosk submissions)</t>
  </si>
  <si>
    <t xml:space="preserve">~$0-1 (Vercel/Netlify free tier + domain amortized)</t>
  </si>
  <si>
    <t xml:space="preserve">~$0 (automation only, no per-unit external cost)</t>
  </si>
  <si>
    <t xml:space="preserve">India margin uses ₹95/$1 (approx spot rate, Aug 2026 — xe.com) to convert the USD cost basis for comparability. Actual India infra cost is lower in real terms (Meta India rates are cheaper than US SMS), so real India margins run higher than shown here.</t>
  </si>
</sst>
</file>

<file path=xl/styles.xml><?xml version="1.0" encoding="utf-8"?>
<styleSheet xmlns="http://schemas.openxmlformats.org/spreadsheetml/2006/main">
  <numFmts count="5">
    <numFmt numFmtId="164" formatCode="General"/>
    <numFmt numFmtId="165" formatCode="\$#,##0"/>
    <numFmt numFmtId="166" formatCode="\₹#,##0"/>
    <numFmt numFmtId="167" formatCode="0.0%"/>
    <numFmt numFmtId="168" formatCode="\$#,##0.00"/>
  </numFmts>
  <fonts count="1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666666"/>
      <name val="Arial"/>
      <family val="0"/>
      <charset val="1"/>
    </font>
    <font>
      <b val="true"/>
      <sz val="11"/>
      <color rgb="FF9C4500"/>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
      <b val="true"/>
      <sz val="10"/>
      <color rgb="FF1E7A34"/>
      <name val="Arial"/>
      <family val="0"/>
      <charset val="1"/>
    </font>
    <font>
      <b val="true"/>
      <sz val="10"/>
      <color rgb="FF1F2A44"/>
      <name val="Arial"/>
      <family val="0"/>
      <charset val="1"/>
    </font>
  </fonts>
  <fills count="6">
    <fill>
      <patternFill patternType="none"/>
    </fill>
    <fill>
      <patternFill patternType="gray125"/>
    </fill>
    <fill>
      <patternFill patternType="solid">
        <fgColor rgb="FF1F2A44"/>
        <bgColor rgb="FF003366"/>
      </patternFill>
    </fill>
    <fill>
      <patternFill patternType="solid">
        <fgColor rgb="FFFFF2CC"/>
        <bgColor rgb="FFFFFFFF"/>
      </patternFill>
    </fill>
    <fill>
      <patternFill patternType="solid">
        <fgColor rgb="FF2E5AAC"/>
        <bgColor rgb="FF3366FF"/>
      </patternFill>
    </fill>
    <fill>
      <patternFill patternType="solid">
        <fgColor rgb="FF7A2E2E"/>
        <bgColor rgb="FF993366"/>
      </patternFill>
    </fill>
  </fills>
  <borders count="2">
    <border diagonalUp="false" diagonalDown="false">
      <left/>
      <right/>
      <top/>
      <bottom/>
      <diagonal/>
    </border>
    <border diagonalUp="false" diagonalDown="false">
      <left style="thin">
        <color rgb="FFC9CFDA"/>
      </left>
      <right style="thin">
        <color rgb="FFC9CFDA"/>
      </right>
      <top style="thin">
        <color rgb="FFC9CFDA"/>
      </top>
      <bottom style="thin">
        <color rgb="FFC9CF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10" fillId="0" borderId="1" xfId="0" applyFont="true" applyBorder="true" applyAlignment="true" applyProtection="false">
      <alignment horizontal="left" vertical="center" textRotation="0" wrapText="false" indent="0" shrinkToFit="false"/>
      <protection locked="true" hidden="false"/>
    </xf>
    <xf numFmtId="166" fontId="10"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7" fontId="10"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5" fontId="9" fillId="3" borderId="1" xfId="0" applyFont="true" applyBorder="true" applyAlignment="true" applyProtection="false">
      <alignment horizontal="left" vertical="center" textRotation="0" wrapText="false" indent="0" shrinkToFit="false"/>
      <protection locked="true" hidden="false"/>
    </xf>
    <xf numFmtId="165" fontId="10" fillId="3" borderId="1"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6" fontId="9" fillId="3" borderId="1" xfId="0" applyFont="true" applyBorder="true" applyAlignment="true" applyProtection="false">
      <alignment horizontal="left" vertical="center" textRotation="0" wrapText="false" indent="0" shrinkToFit="false"/>
      <protection locked="true" hidden="false"/>
    </xf>
    <xf numFmtId="166" fontId="10" fillId="3" borderId="1" xfId="0" applyFont="true" applyBorder="true" applyAlignment="true" applyProtection="false">
      <alignment horizontal="left" vertical="center" textRotation="0" wrapText="false" indent="0" shrinkToFit="false"/>
      <protection locked="true" hidden="false"/>
    </xf>
    <xf numFmtId="164" fontId="4" fillId="5" borderId="0" xfId="0" applyFont="true" applyBorder="true" applyAlignment="true" applyProtection="false">
      <alignment horizontal="left" vertical="center" textRotation="0" wrapText="false" indent="1"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E7A34"/>
      <rgbColor rgb="FF000080"/>
      <rgbColor rgb="FF808000"/>
      <rgbColor rgb="FF800080"/>
      <rgbColor rgb="FF008080"/>
      <rgbColor rgb="FFC0C0C0"/>
      <rgbColor rgb="FF808080"/>
      <rgbColor rgb="FF9999FF"/>
      <rgbColor rgb="FF7A2E2E"/>
      <rgbColor rgb="FFFFF2CC"/>
      <rgbColor rgb="FFCCFFFF"/>
      <rgbColor rgb="FF660066"/>
      <rgbColor rgb="FFFF8080"/>
      <rgbColor rgb="FF2E5AAC"/>
      <rgbColor rgb="FFC9CFD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C45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5" min="2" style="0" width="20"/>
  </cols>
  <sheetData>
    <row r="1" customFormat="false" ht="31.5" hidden="false" customHeight="true" outlineLevel="0" collapsed="false">
      <c r="A1" s="1" t="s">
        <v>0</v>
      </c>
      <c r="B1" s="1"/>
      <c r="C1" s="1"/>
      <c r="D1" s="1"/>
      <c r="E1" s="1"/>
    </row>
    <row r="2" customFormat="false" ht="18" hidden="false" customHeight="true" outlineLevel="0" collapsed="false">
      <c r="A2" s="2" t="s">
        <v>1</v>
      </c>
      <c r="B2" s="2"/>
      <c r="C2" s="2"/>
      <c r="D2" s="2"/>
      <c r="E2" s="2"/>
    </row>
    <row r="4" customFormat="false" ht="15" hidden="false" customHeight="false" outlineLevel="0" collapsed="false">
      <c r="A4" s="3" t="s">
        <v>2</v>
      </c>
      <c r="B4" s="3"/>
      <c r="C4" s="3"/>
      <c r="D4" s="3"/>
      <c r="E4" s="3"/>
    </row>
    <row r="5" customFormat="false" ht="15" hidden="false" customHeight="true" outlineLevel="0" collapsed="false">
      <c r="A5" s="4" t="s">
        <v>3</v>
      </c>
      <c r="B5" s="4"/>
      <c r="C5" s="4"/>
      <c r="D5" s="4"/>
      <c r="E5" s="4"/>
    </row>
    <row r="6" customFormat="false" ht="15" hidden="false" customHeight="false" outlineLevel="0" collapsed="false">
      <c r="A6" s="4"/>
      <c r="B6" s="4"/>
      <c r="C6" s="4"/>
      <c r="D6" s="4"/>
      <c r="E6" s="4"/>
    </row>
    <row r="7" customFormat="false" ht="15" hidden="false" customHeight="false" outlineLevel="0" collapsed="false">
      <c r="A7" s="4"/>
      <c r="B7" s="4"/>
      <c r="C7" s="4"/>
      <c r="D7" s="4"/>
      <c r="E7" s="4"/>
    </row>
    <row r="8" customFormat="false" ht="15" hidden="false" customHeight="false" outlineLevel="0" collapsed="false">
      <c r="A8" s="4"/>
      <c r="B8" s="4"/>
      <c r="C8" s="4"/>
      <c r="D8" s="4"/>
      <c r="E8" s="4"/>
    </row>
    <row r="10" customFormat="false" ht="27.75" hidden="false" customHeight="true" outlineLevel="0" collapsed="false">
      <c r="A10" s="5"/>
      <c r="B10" s="5" t="s">
        <v>4</v>
      </c>
      <c r="C10" s="5" t="s">
        <v>5</v>
      </c>
      <c r="D10" s="5" t="s">
        <v>6</v>
      </c>
      <c r="E10" s="5" t="s">
        <v>7</v>
      </c>
    </row>
    <row r="11" customFormat="false" ht="46.25" hidden="false" customHeight="false" outlineLevel="0" collapsed="false">
      <c r="A11" s="6" t="s">
        <v>8</v>
      </c>
      <c r="B11" s="7" t="n">
        <v>999</v>
      </c>
      <c r="C11" s="8" t="n">
        <v>24999</v>
      </c>
      <c r="D11" s="7" t="n">
        <f aca="false">C11/95</f>
        <v>263.147368421053</v>
      </c>
      <c r="E11" s="9" t="s">
        <v>9</v>
      </c>
    </row>
    <row r="12" customFormat="false" ht="35.05" hidden="false" customHeight="false" outlineLevel="0" collapsed="false">
      <c r="A12" s="6" t="s">
        <v>10</v>
      </c>
      <c r="B12" s="7" t="n">
        <f aca="false">SUM('Houston TX Pricing'!C5:C12)</f>
        <v>1502</v>
      </c>
      <c r="C12" s="8" t="n">
        <f aca="false">SUM('India Pricing'!C5:C12)</f>
        <v>36992</v>
      </c>
      <c r="D12" s="7" t="n">
        <f aca="false">C12/95</f>
        <v>389.389473684211</v>
      </c>
      <c r="E12" s="9" t="s">
        <v>11</v>
      </c>
    </row>
    <row r="13" customFormat="false" ht="15" hidden="false" customHeight="false" outlineLevel="0" collapsed="false">
      <c r="A13" s="6" t="s">
        <v>12</v>
      </c>
      <c r="B13" s="10" t="n">
        <f aca="false">B12-B11</f>
        <v>503</v>
      </c>
      <c r="C13" s="11" t="n">
        <f aca="false">C12-C11</f>
        <v>11993</v>
      </c>
      <c r="D13" s="10" t="n">
        <f aca="false">D12-D11</f>
        <v>126.242105263158</v>
      </c>
      <c r="E13" s="12"/>
    </row>
    <row r="14" customFormat="false" ht="15" hidden="false" customHeight="false" outlineLevel="0" collapsed="false">
      <c r="A14" s="6" t="s">
        <v>13</v>
      </c>
      <c r="B14" s="13" t="n">
        <f aca="false">(B12-B11)/B12</f>
        <v>0.334886817576565</v>
      </c>
      <c r="C14" s="13" t="n">
        <f aca="false">(C12-C11)/C12</f>
        <v>0.324205233564014</v>
      </c>
      <c r="D14" s="14"/>
      <c r="E14" s="12"/>
    </row>
    <row r="15" customFormat="false" ht="23.85" hidden="false" customHeight="false" outlineLevel="0" collapsed="false">
      <c r="A15" s="6" t="s">
        <v>14</v>
      </c>
      <c r="B15" s="7" t="n">
        <v>499</v>
      </c>
      <c r="C15" s="8" t="n">
        <v>9999</v>
      </c>
      <c r="D15" s="7" t="n">
        <f aca="false">C15/95</f>
        <v>105.252631578947</v>
      </c>
      <c r="E15" s="9" t="s">
        <v>15</v>
      </c>
    </row>
    <row r="17" customFormat="false" ht="15" hidden="false" customHeight="false" outlineLevel="0" collapsed="false">
      <c r="A17" s="15" t="s">
        <v>16</v>
      </c>
      <c r="B17" s="15"/>
      <c r="C17" s="15"/>
      <c r="D17" s="15"/>
      <c r="E17" s="15"/>
    </row>
    <row r="18" customFormat="false" ht="15" hidden="false" customHeight="true" outlineLevel="0" collapsed="false">
      <c r="A18" s="4" t="s">
        <v>17</v>
      </c>
      <c r="B18" s="4"/>
      <c r="C18" s="4"/>
      <c r="D18" s="4"/>
      <c r="E18" s="4"/>
    </row>
    <row r="19" customFormat="false" ht="15" hidden="false" customHeight="false" outlineLevel="0" collapsed="false">
      <c r="A19" s="4"/>
      <c r="B19" s="4"/>
      <c r="C19" s="4"/>
      <c r="D19" s="4"/>
      <c r="E19" s="4"/>
    </row>
    <row r="20" customFormat="false" ht="15" hidden="false" customHeight="false" outlineLevel="0" collapsed="false">
      <c r="A20" s="4"/>
      <c r="B20" s="4"/>
      <c r="C20" s="4"/>
      <c r="D20" s="4"/>
      <c r="E20" s="4"/>
    </row>
    <row r="22" customFormat="false" ht="15" hidden="false" customHeight="true" outlineLevel="0" collapsed="false">
      <c r="A22" s="4" t="s">
        <v>18</v>
      </c>
      <c r="B22" s="4"/>
      <c r="C22" s="4"/>
      <c r="D22" s="4"/>
      <c r="E22" s="4"/>
    </row>
    <row r="23" customFormat="false" ht="15" hidden="false" customHeight="false" outlineLevel="0" collapsed="false">
      <c r="A23" s="4"/>
      <c r="B23" s="4"/>
      <c r="C23" s="4"/>
      <c r="D23" s="4"/>
      <c r="E23" s="4"/>
    </row>
    <row r="24" customFormat="false" ht="15" hidden="false" customHeight="false" outlineLevel="0" collapsed="false">
      <c r="A24" s="4"/>
      <c r="B24" s="4"/>
      <c r="C24" s="4"/>
      <c r="D24" s="4"/>
      <c r="E24" s="4"/>
    </row>
  </sheetData>
  <mergeCells count="7">
    <mergeCell ref="A1:E1"/>
    <mergeCell ref="A2:E2"/>
    <mergeCell ref="A4:E4"/>
    <mergeCell ref="A5:E8"/>
    <mergeCell ref="A17:E17"/>
    <mergeCell ref="A18:E20"/>
    <mergeCell ref="A22: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14"/>
    <col collapsed="false" customWidth="true" hidden="false" outlineLevel="0" max="4" min="4" style="0" width="13"/>
    <col collapsed="false" customWidth="true" hidden="false" outlineLevel="0" max="5" min="5" style="0" width="22"/>
    <col collapsed="false" customWidth="true" hidden="false" outlineLevel="0" max="6" min="6" style="0" width="30"/>
    <col collapsed="false" customWidth="true" hidden="false" outlineLevel="0" max="7" min="7" style="0" width="14"/>
  </cols>
  <sheetData>
    <row r="1" customFormat="false" ht="27.75" hidden="false" customHeight="true" outlineLevel="0" collapsed="false">
      <c r="A1" s="1" t="s">
        <v>19</v>
      </c>
      <c r="B1" s="1"/>
      <c r="C1" s="1"/>
      <c r="D1" s="1"/>
      <c r="E1" s="1"/>
      <c r="F1" s="1"/>
      <c r="G1" s="1"/>
    </row>
    <row r="2" customFormat="false" ht="15" hidden="false" customHeight="false" outlineLevel="0" collapsed="false">
      <c r="A2" s="2" t="s">
        <v>20</v>
      </c>
      <c r="B2" s="2"/>
      <c r="C2" s="2"/>
      <c r="D2" s="2"/>
      <c r="E2" s="2"/>
      <c r="F2" s="2"/>
      <c r="G2" s="2"/>
    </row>
    <row r="4" customFormat="false" ht="27.75" hidden="false" customHeight="true" outlineLevel="0" collapsed="false">
      <c r="A4" s="5" t="s">
        <v>21</v>
      </c>
      <c r="B4" s="5" t="s">
        <v>22</v>
      </c>
      <c r="C4" s="5" t="s">
        <v>23</v>
      </c>
      <c r="D4" s="5" t="s">
        <v>24</v>
      </c>
      <c r="E4" s="5" t="s">
        <v>25</v>
      </c>
      <c r="F4" s="5" t="s">
        <v>26</v>
      </c>
      <c r="G4" s="5" t="s">
        <v>27</v>
      </c>
    </row>
    <row r="5" customFormat="false" ht="31.5" hidden="false" customHeight="true" outlineLevel="0" collapsed="false">
      <c r="A5" s="16" t="s">
        <v>28</v>
      </c>
      <c r="B5" s="9" t="s">
        <v>29</v>
      </c>
      <c r="C5" s="7" t="n">
        <v>179</v>
      </c>
      <c r="D5" s="10" t="n">
        <f aca="false">C5*12</f>
        <v>2148</v>
      </c>
      <c r="E5" s="9" t="s">
        <v>30</v>
      </c>
      <c r="F5" s="9" t="s">
        <v>31</v>
      </c>
      <c r="G5" s="7" t="n">
        <v>0</v>
      </c>
    </row>
    <row r="6" customFormat="false" ht="31.5" hidden="false" customHeight="true" outlineLevel="0" collapsed="false">
      <c r="A6" s="16" t="s">
        <v>32</v>
      </c>
      <c r="B6" s="9" t="s">
        <v>33</v>
      </c>
      <c r="C6" s="7" t="n">
        <v>349</v>
      </c>
      <c r="D6" s="10" t="n">
        <f aca="false">C6*12</f>
        <v>4188</v>
      </c>
      <c r="E6" s="9" t="s">
        <v>34</v>
      </c>
      <c r="F6" s="9" t="s">
        <v>35</v>
      </c>
      <c r="G6" s="7" t="n">
        <v>250</v>
      </c>
    </row>
    <row r="7" customFormat="false" ht="31.5" hidden="false" customHeight="true" outlineLevel="0" collapsed="false">
      <c r="A7" s="16" t="s">
        <v>36</v>
      </c>
      <c r="B7" s="9" t="s">
        <v>37</v>
      </c>
      <c r="C7" s="7" t="n">
        <v>199</v>
      </c>
      <c r="D7" s="10" t="n">
        <f aca="false">C7*12</f>
        <v>2388</v>
      </c>
      <c r="E7" s="9" t="s">
        <v>38</v>
      </c>
      <c r="F7" s="9" t="s">
        <v>39</v>
      </c>
      <c r="G7" s="7" t="n">
        <v>0</v>
      </c>
    </row>
    <row r="8" customFormat="false" ht="31.5" hidden="false" customHeight="true" outlineLevel="0" collapsed="false">
      <c r="A8" s="16" t="s">
        <v>40</v>
      </c>
      <c r="B8" s="9" t="s">
        <v>41</v>
      </c>
      <c r="C8" s="7" t="n">
        <v>149</v>
      </c>
      <c r="D8" s="10" t="n">
        <f aca="false">C8*12</f>
        <v>1788</v>
      </c>
      <c r="E8" s="9" t="s">
        <v>42</v>
      </c>
      <c r="F8" s="9" t="s">
        <v>43</v>
      </c>
      <c r="G8" s="7" t="n">
        <v>0</v>
      </c>
    </row>
    <row r="9" customFormat="false" ht="31.5" hidden="false" customHeight="true" outlineLevel="0" collapsed="false">
      <c r="A9" s="16" t="s">
        <v>44</v>
      </c>
      <c r="B9" s="9" t="s">
        <v>45</v>
      </c>
      <c r="C9" s="7" t="n">
        <v>179</v>
      </c>
      <c r="D9" s="10" t="n">
        <f aca="false">C9*12</f>
        <v>2148</v>
      </c>
      <c r="E9" s="9" t="s">
        <v>30</v>
      </c>
      <c r="F9" s="9" t="s">
        <v>39</v>
      </c>
      <c r="G9" s="7" t="n">
        <v>0</v>
      </c>
    </row>
    <row r="10" customFormat="false" ht="31.5" hidden="false" customHeight="true" outlineLevel="0" collapsed="false">
      <c r="A10" s="16" t="s">
        <v>46</v>
      </c>
      <c r="B10" s="9" t="s">
        <v>47</v>
      </c>
      <c r="C10" s="7" t="n">
        <v>149</v>
      </c>
      <c r="D10" s="10" t="n">
        <f aca="false">C10*12</f>
        <v>1788</v>
      </c>
      <c r="E10" s="9" t="s">
        <v>48</v>
      </c>
      <c r="F10" s="9" t="s">
        <v>39</v>
      </c>
      <c r="G10" s="7" t="n">
        <v>0</v>
      </c>
    </row>
    <row r="11" customFormat="false" ht="31.5" hidden="false" customHeight="true" outlineLevel="0" collapsed="false">
      <c r="A11" s="16" t="s">
        <v>49</v>
      </c>
      <c r="B11" s="9" t="s">
        <v>50</v>
      </c>
      <c r="C11" s="7" t="n">
        <v>49</v>
      </c>
      <c r="D11" s="10" t="n">
        <f aca="false">C11*12</f>
        <v>588</v>
      </c>
      <c r="E11" s="9" t="s">
        <v>51</v>
      </c>
      <c r="F11" s="9" t="s">
        <v>52</v>
      </c>
      <c r="G11" s="7" t="n">
        <v>999</v>
      </c>
    </row>
    <row r="12" customFormat="false" ht="31.5" hidden="false" customHeight="true" outlineLevel="0" collapsed="false">
      <c r="A12" s="16" t="s">
        <v>53</v>
      </c>
      <c r="B12" s="9" t="s">
        <v>54</v>
      </c>
      <c r="C12" s="7" t="n">
        <v>249</v>
      </c>
      <c r="D12" s="10" t="n">
        <f aca="false">C12*12</f>
        <v>2988</v>
      </c>
      <c r="E12" s="9" t="s">
        <v>55</v>
      </c>
      <c r="F12" s="9" t="s">
        <v>56</v>
      </c>
      <c r="G12" s="7" t="n">
        <v>0</v>
      </c>
    </row>
    <row r="14" customFormat="false" ht="15" hidden="false" customHeight="false" outlineLevel="0" collapsed="false">
      <c r="A14" s="6" t="s">
        <v>57</v>
      </c>
      <c r="B14" s="14"/>
      <c r="C14" s="10" t="n">
        <f aca="false">SUM(C5:C12)</f>
        <v>1502</v>
      </c>
      <c r="D14" s="10" t="n">
        <f aca="false">SUM(D5:D12)</f>
        <v>18024</v>
      </c>
      <c r="E14" s="14"/>
      <c r="F14" s="12" t="s">
        <v>58</v>
      </c>
      <c r="G14" s="14"/>
    </row>
    <row r="15" customFormat="false" ht="15" hidden="false" customHeight="false" outlineLevel="0" collapsed="false">
      <c r="A15" s="17" t="s">
        <v>59</v>
      </c>
      <c r="B15" s="18"/>
      <c r="C15" s="19" t="n">
        <v>999</v>
      </c>
      <c r="D15" s="20" t="n">
        <f aca="false">C15*12</f>
        <v>11988</v>
      </c>
      <c r="E15" s="18" t="s">
        <v>60</v>
      </c>
      <c r="F15" s="18" t="s">
        <v>56</v>
      </c>
      <c r="G15" s="19" t="n">
        <v>499</v>
      </c>
    </row>
    <row r="17" customFormat="false" ht="22.35" hidden="false" customHeight="true" outlineLevel="0" collapsed="false">
      <c r="A17" s="21" t="s">
        <v>61</v>
      </c>
      <c r="B17" s="21"/>
      <c r="C17" s="21"/>
      <c r="D17" s="21"/>
      <c r="E17" s="21"/>
      <c r="F17" s="21"/>
      <c r="G17" s="21"/>
    </row>
  </sheetData>
  <mergeCells count="3">
    <mergeCell ref="A1:G1"/>
    <mergeCell ref="A2:G2"/>
    <mergeCell ref="A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14"/>
    <col collapsed="false" customWidth="true" hidden="false" outlineLevel="0" max="4" min="4" style="0" width="13"/>
    <col collapsed="false" customWidth="true" hidden="false" outlineLevel="0" max="5" min="5" style="0" width="22"/>
    <col collapsed="false" customWidth="true" hidden="false" outlineLevel="0" max="6" min="6" style="0" width="30"/>
    <col collapsed="false" customWidth="true" hidden="false" outlineLevel="0" max="7" min="7" style="0" width="14"/>
  </cols>
  <sheetData>
    <row r="1" customFormat="false" ht="27.75" hidden="false" customHeight="true" outlineLevel="0" collapsed="false">
      <c r="A1" s="1" t="s">
        <v>62</v>
      </c>
      <c r="B1" s="1"/>
      <c r="C1" s="1"/>
      <c r="D1" s="1"/>
      <c r="E1" s="1"/>
      <c r="F1" s="1"/>
      <c r="G1" s="1"/>
    </row>
    <row r="2" customFormat="false" ht="15" hidden="false" customHeight="false" outlineLevel="0" collapsed="false">
      <c r="A2" s="2" t="s">
        <v>63</v>
      </c>
      <c r="B2" s="2"/>
      <c r="C2" s="2"/>
      <c r="D2" s="2"/>
      <c r="E2" s="2"/>
      <c r="F2" s="2"/>
      <c r="G2" s="2"/>
    </row>
    <row r="4" customFormat="false" ht="27.75" hidden="false" customHeight="true" outlineLevel="0" collapsed="false">
      <c r="A4" s="5" t="s">
        <v>21</v>
      </c>
      <c r="B4" s="5" t="s">
        <v>22</v>
      </c>
      <c r="C4" s="5" t="s">
        <v>23</v>
      </c>
      <c r="D4" s="5" t="s">
        <v>24</v>
      </c>
      <c r="E4" s="5" t="s">
        <v>25</v>
      </c>
      <c r="F4" s="5" t="s">
        <v>26</v>
      </c>
      <c r="G4" s="5" t="s">
        <v>27</v>
      </c>
    </row>
    <row r="5" customFormat="false" ht="36" hidden="false" customHeight="true" outlineLevel="0" collapsed="false">
      <c r="A5" s="16" t="s">
        <v>64</v>
      </c>
      <c r="B5" s="9" t="s">
        <v>65</v>
      </c>
      <c r="C5" s="8" t="n">
        <v>4999</v>
      </c>
      <c r="D5" s="11" t="n">
        <f aca="false">C5*12</f>
        <v>59988</v>
      </c>
      <c r="E5" s="9" t="s">
        <v>66</v>
      </c>
      <c r="F5" s="9" t="s">
        <v>67</v>
      </c>
      <c r="G5" s="8" t="n">
        <v>0</v>
      </c>
    </row>
    <row r="6" customFormat="false" ht="36" hidden="false" customHeight="true" outlineLevel="0" collapsed="false">
      <c r="A6" s="16" t="s">
        <v>32</v>
      </c>
      <c r="B6" s="9" t="s">
        <v>68</v>
      </c>
      <c r="C6" s="8" t="n">
        <v>7999</v>
      </c>
      <c r="D6" s="11" t="n">
        <f aca="false">C6*12</f>
        <v>95988</v>
      </c>
      <c r="E6" s="9" t="s">
        <v>34</v>
      </c>
      <c r="F6" s="9" t="s">
        <v>69</v>
      </c>
      <c r="G6" s="8" t="n">
        <v>4999</v>
      </c>
    </row>
    <row r="7" customFormat="false" ht="36" hidden="false" customHeight="true" outlineLevel="0" collapsed="false">
      <c r="A7" s="16" t="s">
        <v>36</v>
      </c>
      <c r="B7" s="9" t="s">
        <v>70</v>
      </c>
      <c r="C7" s="8" t="n">
        <v>4999</v>
      </c>
      <c r="D7" s="11" t="n">
        <f aca="false">C7*12</f>
        <v>59988</v>
      </c>
      <c r="E7" s="9" t="s">
        <v>71</v>
      </c>
      <c r="F7" s="9" t="s">
        <v>72</v>
      </c>
      <c r="G7" s="8" t="n">
        <v>0</v>
      </c>
    </row>
    <row r="8" customFormat="false" ht="36" hidden="false" customHeight="true" outlineLevel="0" collapsed="false">
      <c r="A8" s="16" t="s">
        <v>40</v>
      </c>
      <c r="B8" s="9" t="s">
        <v>73</v>
      </c>
      <c r="C8" s="8" t="n">
        <v>4999</v>
      </c>
      <c r="D8" s="11" t="n">
        <f aca="false">C8*12</f>
        <v>59988</v>
      </c>
      <c r="E8" s="9" t="s">
        <v>42</v>
      </c>
      <c r="F8" s="9" t="s">
        <v>43</v>
      </c>
      <c r="G8" s="8" t="n">
        <v>0</v>
      </c>
    </row>
    <row r="9" customFormat="false" ht="36" hidden="false" customHeight="true" outlineLevel="0" collapsed="false">
      <c r="A9" s="16" t="s">
        <v>44</v>
      </c>
      <c r="B9" s="9" t="s">
        <v>74</v>
      </c>
      <c r="C9" s="8" t="n">
        <v>4999</v>
      </c>
      <c r="D9" s="11" t="n">
        <f aca="false">C9*12</f>
        <v>59988</v>
      </c>
      <c r="E9" s="9" t="s">
        <v>66</v>
      </c>
      <c r="F9" s="9" t="s">
        <v>72</v>
      </c>
      <c r="G9" s="8" t="n">
        <v>0</v>
      </c>
    </row>
    <row r="10" customFormat="false" ht="36" hidden="false" customHeight="true" outlineLevel="0" collapsed="false">
      <c r="A10" s="16" t="s">
        <v>46</v>
      </c>
      <c r="B10" s="9" t="s">
        <v>75</v>
      </c>
      <c r="C10" s="8" t="n">
        <v>3999</v>
      </c>
      <c r="D10" s="11" t="n">
        <f aca="false">C10*12</f>
        <v>47988</v>
      </c>
      <c r="E10" s="9" t="s">
        <v>76</v>
      </c>
      <c r="F10" s="9" t="s">
        <v>77</v>
      </c>
      <c r="G10" s="8" t="n">
        <v>0</v>
      </c>
    </row>
    <row r="11" customFormat="false" ht="36" hidden="false" customHeight="true" outlineLevel="0" collapsed="false">
      <c r="A11" s="16" t="s">
        <v>49</v>
      </c>
      <c r="B11" s="9" t="s">
        <v>78</v>
      </c>
      <c r="C11" s="8" t="n">
        <v>999</v>
      </c>
      <c r="D11" s="11" t="n">
        <f aca="false">C11*12</f>
        <v>11988</v>
      </c>
      <c r="E11" s="9" t="s">
        <v>51</v>
      </c>
      <c r="F11" s="9" t="s">
        <v>79</v>
      </c>
      <c r="G11" s="8" t="n">
        <v>24999</v>
      </c>
    </row>
    <row r="12" customFormat="false" ht="36" hidden="false" customHeight="true" outlineLevel="0" collapsed="false">
      <c r="A12" s="16" t="s">
        <v>80</v>
      </c>
      <c r="B12" s="9" t="s">
        <v>81</v>
      </c>
      <c r="C12" s="8" t="n">
        <v>3999</v>
      </c>
      <c r="D12" s="11" t="n">
        <f aca="false">C12*12</f>
        <v>47988</v>
      </c>
      <c r="E12" s="9" t="s">
        <v>82</v>
      </c>
      <c r="F12" s="9" t="s">
        <v>56</v>
      </c>
      <c r="G12" s="8" t="n">
        <v>0</v>
      </c>
    </row>
    <row r="14" customFormat="false" ht="15" hidden="false" customHeight="false" outlineLevel="0" collapsed="false">
      <c r="A14" s="6" t="s">
        <v>57</v>
      </c>
      <c r="B14" s="14"/>
      <c r="C14" s="11" t="n">
        <f aca="false">SUM(C5:C12)</f>
        <v>36992</v>
      </c>
      <c r="D14" s="11" t="n">
        <f aca="false">SUM(D5:D12)</f>
        <v>443904</v>
      </c>
      <c r="E14" s="14"/>
      <c r="F14" s="12" t="s">
        <v>58</v>
      </c>
      <c r="G14" s="14"/>
    </row>
    <row r="15" customFormat="false" ht="15" hidden="false" customHeight="false" outlineLevel="0" collapsed="false">
      <c r="A15" s="17" t="s">
        <v>59</v>
      </c>
      <c r="B15" s="18"/>
      <c r="C15" s="22" t="n">
        <v>24999</v>
      </c>
      <c r="D15" s="23" t="n">
        <f aca="false">C15*12</f>
        <v>299988</v>
      </c>
      <c r="E15" s="18" t="s">
        <v>60</v>
      </c>
      <c r="F15" s="18" t="s">
        <v>56</v>
      </c>
      <c r="G15" s="22" t="n">
        <v>9999</v>
      </c>
    </row>
    <row r="17" customFormat="false" ht="15" hidden="false" customHeight="true" outlineLevel="0" collapsed="false">
      <c r="A17" s="21" t="s">
        <v>83</v>
      </c>
      <c r="B17" s="21"/>
      <c r="C17" s="21"/>
      <c r="D17" s="21"/>
      <c r="E17" s="21"/>
      <c r="F17" s="21"/>
      <c r="G17" s="21"/>
    </row>
  </sheetData>
  <mergeCells count="3">
    <mergeCell ref="A1:G1"/>
    <mergeCell ref="A2:G2"/>
    <mergeCell ref="A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26"/>
    <col collapsed="false" customWidth="true" hidden="false" outlineLevel="0" max="5" min="4" style="0" width="16"/>
    <col collapsed="false" customWidth="true" hidden="false" outlineLevel="0" max="6" min="6" style="0" width="40"/>
  </cols>
  <sheetData>
    <row r="1" customFormat="false" ht="27.75" hidden="false" customHeight="true" outlineLevel="0" collapsed="false">
      <c r="A1" s="1" t="s">
        <v>84</v>
      </c>
      <c r="B1" s="1"/>
      <c r="C1" s="1"/>
      <c r="D1" s="1"/>
      <c r="E1" s="1"/>
      <c r="F1" s="1"/>
    </row>
    <row r="3" customFormat="false" ht="27.75" hidden="false" customHeight="true" outlineLevel="0" collapsed="false">
      <c r="A3" s="5" t="s">
        <v>85</v>
      </c>
      <c r="B3" s="5" t="s">
        <v>86</v>
      </c>
      <c r="C3" s="5" t="s">
        <v>87</v>
      </c>
      <c r="D3" s="5" t="s">
        <v>88</v>
      </c>
      <c r="E3" s="5" t="s">
        <v>89</v>
      </c>
      <c r="F3" s="5" t="s">
        <v>90</v>
      </c>
    </row>
    <row r="4" customFormat="false" ht="48" hidden="false" customHeight="true" outlineLevel="0" collapsed="false">
      <c r="A4" s="16" t="s">
        <v>91</v>
      </c>
      <c r="B4" s="9" t="s">
        <v>92</v>
      </c>
      <c r="C4" s="9" t="s">
        <v>93</v>
      </c>
      <c r="D4" s="9" t="s">
        <v>94</v>
      </c>
      <c r="E4" s="9" t="s">
        <v>95</v>
      </c>
      <c r="F4" s="9" t="s">
        <v>96</v>
      </c>
    </row>
    <row r="5" customFormat="false" ht="48" hidden="false" customHeight="true" outlineLevel="0" collapsed="false">
      <c r="A5" s="16" t="s">
        <v>97</v>
      </c>
      <c r="B5" s="9" t="s">
        <v>98</v>
      </c>
      <c r="C5" s="9" t="s">
        <v>99</v>
      </c>
      <c r="D5" s="9" t="s">
        <v>100</v>
      </c>
      <c r="E5" s="9" t="s">
        <v>101</v>
      </c>
      <c r="F5" s="9" t="s">
        <v>102</v>
      </c>
    </row>
    <row r="6" customFormat="false" ht="48" hidden="false" customHeight="true" outlineLevel="0" collapsed="false">
      <c r="A6" s="16" t="s">
        <v>103</v>
      </c>
      <c r="B6" s="9" t="s">
        <v>104</v>
      </c>
      <c r="C6" s="9" t="s">
        <v>105</v>
      </c>
      <c r="D6" s="9" t="s">
        <v>106</v>
      </c>
      <c r="E6" s="9" t="s">
        <v>95</v>
      </c>
      <c r="F6" s="9" t="s">
        <v>107</v>
      </c>
    </row>
    <row r="7" customFormat="false" ht="48" hidden="false" customHeight="true" outlineLevel="0" collapsed="false">
      <c r="A7" s="16" t="s">
        <v>108</v>
      </c>
      <c r="B7" s="9" t="s">
        <v>109</v>
      </c>
      <c r="C7" s="9" t="s">
        <v>110</v>
      </c>
      <c r="D7" s="9" t="s">
        <v>111</v>
      </c>
      <c r="E7" s="9" t="s">
        <v>112</v>
      </c>
      <c r="F7" s="9" t="s">
        <v>113</v>
      </c>
    </row>
    <row r="8" customFormat="false" ht="48" hidden="false" customHeight="true" outlineLevel="0" collapsed="false">
      <c r="A8" s="16" t="s">
        <v>114</v>
      </c>
      <c r="B8" s="9" t="s">
        <v>115</v>
      </c>
      <c r="C8" s="9" t="s">
        <v>116</v>
      </c>
      <c r="D8" s="9" t="s">
        <v>117</v>
      </c>
      <c r="E8" s="9" t="s">
        <v>118</v>
      </c>
      <c r="F8" s="9" t="s">
        <v>119</v>
      </c>
    </row>
    <row r="9" customFormat="false" ht="48" hidden="false" customHeight="true" outlineLevel="0" collapsed="false">
      <c r="A9" s="16" t="s">
        <v>120</v>
      </c>
      <c r="B9" s="9" t="s">
        <v>121</v>
      </c>
      <c r="C9" s="9" t="s">
        <v>122</v>
      </c>
      <c r="D9" s="9" t="s">
        <v>123</v>
      </c>
      <c r="E9" s="9" t="s">
        <v>124</v>
      </c>
      <c r="F9" s="9" t="s">
        <v>125</v>
      </c>
    </row>
    <row r="10" customFormat="false" ht="48" hidden="false" customHeight="true" outlineLevel="0" collapsed="false">
      <c r="A10" s="16" t="s">
        <v>126</v>
      </c>
      <c r="B10" s="9" t="s">
        <v>127</v>
      </c>
      <c r="C10" s="9" t="s">
        <v>128</v>
      </c>
      <c r="D10" s="9" t="s">
        <v>129</v>
      </c>
      <c r="E10" s="9" t="s">
        <v>130</v>
      </c>
      <c r="F10" s="9" t="s">
        <v>131</v>
      </c>
    </row>
    <row r="11" customFormat="false" ht="48" hidden="false" customHeight="true" outlineLevel="0" collapsed="false">
      <c r="A11" s="16" t="s">
        <v>132</v>
      </c>
      <c r="B11" s="9" t="s">
        <v>133</v>
      </c>
      <c r="C11" s="9" t="s">
        <v>134</v>
      </c>
      <c r="D11" s="9" t="s">
        <v>56</v>
      </c>
      <c r="E11" s="9" t="s">
        <v>135</v>
      </c>
      <c r="F11" s="9" t="s">
        <v>136</v>
      </c>
    </row>
    <row r="12" customFormat="false" ht="48" hidden="false" customHeight="true" outlineLevel="0" collapsed="false">
      <c r="A12" s="16" t="s">
        <v>137</v>
      </c>
      <c r="B12" s="9" t="s">
        <v>138</v>
      </c>
      <c r="C12" s="9" t="s">
        <v>139</v>
      </c>
      <c r="D12" s="9" t="s">
        <v>56</v>
      </c>
      <c r="E12" s="9" t="s">
        <v>140</v>
      </c>
      <c r="F12" s="9" t="s">
        <v>141</v>
      </c>
    </row>
    <row r="14" customFormat="false" ht="22.35" hidden="false" customHeight="true" outlineLevel="0" collapsed="false">
      <c r="A14" s="21" t="s">
        <v>142</v>
      </c>
      <c r="B14" s="21"/>
      <c r="C14" s="21"/>
      <c r="D14" s="21"/>
      <c r="E14" s="21"/>
      <c r="F14" s="21"/>
    </row>
  </sheetData>
  <mergeCells count="2">
    <mergeCell ref="A1:F1"/>
    <mergeCell ref="A14: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8" min="3" style="0" width="14"/>
  </cols>
  <sheetData>
    <row r="1" customFormat="false" ht="27.75" hidden="false" customHeight="true" outlineLevel="0" collapsed="false">
      <c r="A1" s="24" t="s">
        <v>143</v>
      </c>
      <c r="B1" s="24"/>
      <c r="C1" s="24"/>
      <c r="D1" s="24"/>
      <c r="E1" s="24"/>
      <c r="F1" s="24"/>
      <c r="G1" s="24"/>
      <c r="H1" s="24"/>
    </row>
    <row r="3" customFormat="false" ht="15" hidden="false" customHeight="true" outlineLevel="0" collapsed="false">
      <c r="A3" s="21" t="s">
        <v>144</v>
      </c>
      <c r="B3" s="21"/>
      <c r="C3" s="21"/>
      <c r="D3" s="21"/>
      <c r="E3" s="21"/>
      <c r="F3" s="21"/>
      <c r="G3" s="21"/>
      <c r="H3" s="21"/>
    </row>
    <row r="5" customFormat="false" ht="27.75" hidden="false" customHeight="true" outlineLevel="0" collapsed="false">
      <c r="A5" s="5" t="s">
        <v>21</v>
      </c>
      <c r="B5" s="5" t="s">
        <v>145</v>
      </c>
      <c r="C5" s="5" t="s">
        <v>146</v>
      </c>
      <c r="D5" s="5" t="s">
        <v>147</v>
      </c>
      <c r="E5" s="5" t="s">
        <v>148</v>
      </c>
      <c r="F5" s="5" t="s">
        <v>149</v>
      </c>
      <c r="G5" s="5" t="s">
        <v>150</v>
      </c>
      <c r="H5" s="5" t="s">
        <v>151</v>
      </c>
    </row>
    <row r="6" customFormat="false" ht="30" hidden="false" customHeight="true" outlineLevel="0" collapsed="false">
      <c r="A6" s="25" t="s">
        <v>152</v>
      </c>
      <c r="B6" s="26" t="s">
        <v>153</v>
      </c>
      <c r="C6" s="27" t="n">
        <v>1</v>
      </c>
      <c r="D6" s="27" t="n">
        <f aca="false">C6+15</f>
        <v>16</v>
      </c>
      <c r="E6" s="28" t="n">
        <v>179</v>
      </c>
      <c r="F6" s="29" t="n">
        <f aca="false">(E6-D6)/E6</f>
        <v>0.910614525139665</v>
      </c>
      <c r="G6" s="30" t="n">
        <v>4999</v>
      </c>
      <c r="H6" s="29" t="n">
        <f aca="false">(G6-(D6*95))/G6</f>
        <v>0.695939187837568</v>
      </c>
    </row>
    <row r="7" customFormat="false" ht="30" hidden="false" customHeight="true" outlineLevel="0" collapsed="false">
      <c r="A7" s="25" t="s">
        <v>32</v>
      </c>
      <c r="B7" s="26" t="s">
        <v>154</v>
      </c>
      <c r="C7" s="27" t="n">
        <v>1</v>
      </c>
      <c r="D7" s="27" t="n">
        <f aca="false">C7+35</f>
        <v>36</v>
      </c>
      <c r="E7" s="28" t="n">
        <v>349</v>
      </c>
      <c r="F7" s="29" t="n">
        <f aca="false">(E7-D7)/E7</f>
        <v>0.896848137535817</v>
      </c>
      <c r="G7" s="30" t="n">
        <v>7999</v>
      </c>
      <c r="H7" s="29" t="n">
        <f aca="false">(G7-(D7*95))/G7</f>
        <v>0.572446555819478</v>
      </c>
    </row>
    <row r="8" customFormat="false" ht="30" hidden="false" customHeight="true" outlineLevel="0" collapsed="false">
      <c r="A8" s="25" t="s">
        <v>36</v>
      </c>
      <c r="B8" s="26" t="s">
        <v>155</v>
      </c>
      <c r="C8" s="27" t="n">
        <v>1</v>
      </c>
      <c r="D8" s="27" t="n">
        <f aca="false">C8+12</f>
        <v>13</v>
      </c>
      <c r="E8" s="28" t="n">
        <v>199</v>
      </c>
      <c r="F8" s="29" t="n">
        <f aca="false">(E8-D8)/E8</f>
        <v>0.934673366834171</v>
      </c>
      <c r="G8" s="30" t="n">
        <v>4999</v>
      </c>
      <c r="H8" s="29" t="n">
        <f aca="false">(G8-(D8*95))/G8</f>
        <v>0.752950590118024</v>
      </c>
    </row>
    <row r="9" customFormat="false" ht="30" hidden="false" customHeight="true" outlineLevel="0" collapsed="false">
      <c r="A9" s="25" t="s">
        <v>40</v>
      </c>
      <c r="B9" s="26" t="s">
        <v>156</v>
      </c>
      <c r="C9" s="27" t="n">
        <v>1</v>
      </c>
      <c r="D9" s="27" t="n">
        <f aca="false">C9+1</f>
        <v>2</v>
      </c>
      <c r="E9" s="28" t="n">
        <v>149</v>
      </c>
      <c r="F9" s="29" t="n">
        <f aca="false">(E9-D9)/E9</f>
        <v>0.986577181208054</v>
      </c>
      <c r="G9" s="30" t="n">
        <v>4999</v>
      </c>
      <c r="H9" s="29" t="n">
        <f aca="false">(G9-(D9*95))/G9</f>
        <v>0.961992398479696</v>
      </c>
    </row>
    <row r="10" customFormat="false" ht="30" hidden="false" customHeight="true" outlineLevel="0" collapsed="false">
      <c r="A10" s="25" t="s">
        <v>44</v>
      </c>
      <c r="B10" s="26" t="s">
        <v>157</v>
      </c>
      <c r="C10" s="27" t="n">
        <v>1</v>
      </c>
      <c r="D10" s="27" t="n">
        <f aca="false">C10+8</f>
        <v>9</v>
      </c>
      <c r="E10" s="28" t="n">
        <v>179</v>
      </c>
      <c r="F10" s="29" t="n">
        <f aca="false">(E10-D10)/E10</f>
        <v>0.949720670391062</v>
      </c>
      <c r="G10" s="30" t="n">
        <v>4999</v>
      </c>
      <c r="H10" s="29" t="n">
        <f aca="false">(G10-(D10*95))/G10</f>
        <v>0.828965793158632</v>
      </c>
    </row>
    <row r="11" customFormat="false" ht="30" hidden="false" customHeight="true" outlineLevel="0" collapsed="false">
      <c r="A11" s="25" t="s">
        <v>46</v>
      </c>
      <c r="B11" s="26" t="s">
        <v>158</v>
      </c>
      <c r="C11" s="27" t="n">
        <v>1</v>
      </c>
      <c r="D11" s="27" t="n">
        <f aca="false">C11+4</f>
        <v>5</v>
      </c>
      <c r="E11" s="28" t="n">
        <v>149</v>
      </c>
      <c r="F11" s="29" t="n">
        <f aca="false">(E11-D11)/E11</f>
        <v>0.966442953020134</v>
      </c>
      <c r="G11" s="30" t="n">
        <v>3999</v>
      </c>
      <c r="H11" s="29" t="n">
        <f aca="false">(G11-(D11*95))/G11</f>
        <v>0.881220305076269</v>
      </c>
    </row>
    <row r="12" customFormat="false" ht="30" hidden="false" customHeight="true" outlineLevel="0" collapsed="false">
      <c r="A12" s="25" t="s">
        <v>49</v>
      </c>
      <c r="B12" s="26" t="s">
        <v>159</v>
      </c>
      <c r="C12" s="27" t="n">
        <v>0</v>
      </c>
      <c r="D12" s="27" t="n">
        <f aca="false">C12+1</f>
        <v>1</v>
      </c>
      <c r="E12" s="28" t="n">
        <v>49</v>
      </c>
      <c r="F12" s="29" t="n">
        <f aca="false">(E12-D12)/E12</f>
        <v>0.979591836734694</v>
      </c>
      <c r="G12" s="30" t="n">
        <v>999</v>
      </c>
      <c r="H12" s="29" t="n">
        <f aca="false">(G12-(D12*95))/G12</f>
        <v>0.904904904904905</v>
      </c>
    </row>
    <row r="13" customFormat="false" ht="30" hidden="false" customHeight="true" outlineLevel="0" collapsed="false">
      <c r="A13" s="25" t="s">
        <v>53</v>
      </c>
      <c r="B13" s="26" t="s">
        <v>160</v>
      </c>
      <c r="C13" s="27" t="n">
        <v>1</v>
      </c>
      <c r="D13" s="27" t="n">
        <f aca="false">C13+1</f>
        <v>2</v>
      </c>
      <c r="E13" s="28" t="n">
        <v>249</v>
      </c>
      <c r="F13" s="29" t="n">
        <f aca="false">(E13-D13)/E13</f>
        <v>0.991967871485944</v>
      </c>
      <c r="G13" s="30" t="n">
        <v>3999</v>
      </c>
      <c r="H13" s="29" t="n">
        <f aca="false">(G13-(D13*95))/G13</f>
        <v>0.952488122030508</v>
      </c>
    </row>
    <row r="15" customFormat="false" ht="22.35" hidden="false" customHeight="true" outlineLevel="0" collapsed="false">
      <c r="A15" s="21" t="s">
        <v>161</v>
      </c>
      <c r="B15" s="21"/>
      <c r="C15" s="21"/>
      <c r="D15" s="21"/>
      <c r="E15" s="21"/>
      <c r="F15" s="21"/>
      <c r="G15" s="21"/>
      <c r="H15" s="21"/>
    </row>
  </sheetData>
  <mergeCells count="3">
    <mergeCell ref="A1:H1"/>
    <mergeCell ref="A3:H3"/>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2026-08-14T08:20:10Z</dcterms:created>
  <dc:creator>openpyxl</dc:creator>
  <dc:description/>
  <dc:language>en-US</dc:language>
  <cp:lastModifiedBy/>
  <dcterms:modified xsi:type="dcterms:W3CDTF">2026-08-14T08:20:10Z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